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Panel" sheetId="1" state="visible" r:id="rId1"/>
    <sheet xmlns:r="http://schemas.openxmlformats.org/officeDocument/2006/relationships" name="Shock_Table" sheetId="2" state="visible" r:id="rId2"/>
    <sheet xmlns:r="http://schemas.openxmlformats.org/officeDocument/2006/relationships" name="Lifecycle_Record" sheetId="3" state="visible" r:id="rId3"/>
    <sheet xmlns:r="http://schemas.openxmlformats.org/officeDocument/2006/relationships" name="Revalidation_Log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8C2CE"/>
      </left>
      <right style="thin">
        <color rgb="00B8C2CE"/>
      </right>
      <top style="thin">
        <color rgb="00B8C2CE"/>
      </top>
      <bottom style="thin">
        <color rgb="00B8C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IR Swap Excel/VBA Revalidation Bridge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type</t>
        </is>
      </c>
      <c r="D3" s="3" t="inlineStr">
        <is>
          <t>decision_meaning</t>
        </is>
      </c>
    </row>
    <row r="4">
      <c r="A4" s="4" t="inlineStr">
        <is>
          <t>Model ID</t>
        </is>
      </c>
      <c r="B4" s="4" t="inlineStr">
        <is>
          <t>QMRL-IR-SWAP-001</t>
        </is>
      </c>
      <c r="C4" s="4" t="inlineStr">
        <is>
          <t>identifier</t>
        </is>
      </c>
      <c r="D4" s="4" t="inlineStr">
        <is>
          <t>Archer/MRM model record reference</t>
        </is>
      </c>
    </row>
    <row r="5">
      <c r="A5" s="4" t="inlineStr">
        <is>
          <t>Product</t>
        </is>
      </c>
      <c r="B5" s="4" t="inlineStr">
        <is>
          <t>Fixed-for-floating interest-rate swap</t>
        </is>
      </c>
      <c r="C5" s="4" t="inlineStr">
        <is>
          <t>scope</t>
        </is>
      </c>
      <c r="D5" s="4" t="inlineStr">
        <is>
          <t>Vanilla IR derivative</t>
        </is>
      </c>
    </row>
    <row r="6">
      <c r="A6" s="4" t="inlineStr">
        <is>
          <t>Valuation date</t>
        </is>
      </c>
      <c r="B6" s="4" t="inlineStr">
        <is>
          <t>2026-07-06 00:00:00</t>
        </is>
      </c>
      <c r="C6" s="4" t="inlineStr">
        <is>
          <t>input</t>
        </is>
      </c>
      <c r="D6" s="4" t="inlineStr">
        <is>
          <t>Official valuation date</t>
        </is>
      </c>
    </row>
    <row r="7">
      <c r="A7" s="4" t="inlineStr">
        <is>
          <t>Par rate</t>
        </is>
      </c>
      <c r="B7" s="4" t="inlineStr">
        <is>
          <t>0.042502</t>
        </is>
      </c>
      <c r="C7" s="4" t="inlineStr">
        <is>
          <t>input</t>
        </is>
      </c>
      <c r="D7" s="4" t="inlineStr">
        <is>
          <t>Base fair fixed rate</t>
        </is>
      </c>
    </row>
    <row r="8">
      <c r="A8" s="4" t="inlineStr">
        <is>
          <t>Test fixed rate</t>
        </is>
      </c>
      <c r="B8" s="4" t="inlineStr">
        <is>
          <t>0.045002</t>
        </is>
      </c>
      <c r="C8" s="4" t="inlineStr">
        <is>
          <t>input</t>
        </is>
      </c>
      <c r="D8" s="4" t="inlineStr">
        <is>
          <t>Off-market test fixed rate</t>
        </is>
      </c>
    </row>
    <row r="9">
      <c r="A9" s="4" t="inlineStr">
        <is>
          <t>Payer NPV</t>
        </is>
      </c>
      <c r="B9" s="4" t="inlineStr">
        <is>
          <t>-111,654.037996</t>
        </is>
      </c>
      <c r="C9" s="4" t="inlineStr">
        <is>
          <t>output</t>
        </is>
      </c>
      <c r="D9" s="4" t="inlineStr">
        <is>
          <t>Payer fixed swap value</t>
        </is>
      </c>
    </row>
    <row r="10">
      <c r="A10" s="4" t="inlineStr">
        <is>
          <t>Receiver NPV</t>
        </is>
      </c>
      <c r="B10" s="4" t="inlineStr">
        <is>
          <t>111,654.037996</t>
        </is>
      </c>
      <c r="C10" s="4" t="inlineStr">
        <is>
          <t>output</t>
        </is>
      </c>
      <c r="D10" s="4" t="inlineStr">
        <is>
          <t>Receiver fixed swap value</t>
        </is>
      </c>
    </row>
    <row r="11">
      <c r="A11" s="4" t="inlineStr">
        <is>
          <t>PV symmetry error</t>
        </is>
      </c>
      <c r="B11" s="4" t="inlineStr">
        <is>
          <t>0.000000</t>
        </is>
      </c>
      <c r="C11" s="4" t="inlineStr">
        <is>
          <t>control</t>
        </is>
      </c>
      <c r="D11" s="4" t="inlineStr">
        <is>
          <t>Must be close to zero</t>
        </is>
      </c>
    </row>
    <row r="12">
      <c r="A12" s="4" t="inlineStr">
        <is>
          <t>Payer DV01</t>
        </is>
      </c>
      <c r="B12" s="4" t="inlineStr">
        <is>
          <t>4,586.145360</t>
        </is>
      </c>
      <c r="C12" s="4" t="inlineStr">
        <is>
          <t>risk</t>
        </is>
      </c>
      <c r="D12" s="4" t="inlineStr">
        <is>
          <t>Expected positive</t>
        </is>
      </c>
    </row>
    <row r="13">
      <c r="A13" s="4" t="inlineStr">
        <is>
          <t>Receiver DV01</t>
        </is>
      </c>
      <c r="B13" s="4" t="inlineStr">
        <is>
          <t>-4,586.145360</t>
        </is>
      </c>
      <c r="C13" s="4" t="inlineStr">
        <is>
          <t>risk</t>
        </is>
      </c>
      <c r="D13" s="4" t="inlineStr">
        <is>
          <t>Expected negative</t>
        </is>
      </c>
    </row>
    <row r="14">
      <c r="A14" s="4" t="inlineStr">
        <is>
          <t>+100bp payer P&amp;L</t>
        </is>
      </c>
      <c r="B14" s="4" t="inlineStr">
        <is>
          <t>447,746.337072</t>
        </is>
      </c>
      <c r="C14" s="4" t="inlineStr">
        <is>
          <t>shock</t>
        </is>
      </c>
      <c r="D14" s="4" t="inlineStr">
        <is>
          <t>Expected positive</t>
        </is>
      </c>
    </row>
    <row r="15">
      <c r="A15" s="4" t="inlineStr">
        <is>
          <t>-100bp payer P&amp;L</t>
        </is>
      </c>
      <c r="B15" s="4" t="inlineStr">
        <is>
          <t>-469,844.127468</t>
        </is>
      </c>
      <c r="C15" s="4" t="inlineStr">
        <is>
          <t>shock</t>
        </is>
      </c>
      <c r="D15" s="4" t="inlineStr">
        <is>
          <t>Expected negative</t>
        </is>
      </c>
    </row>
    <row r="16">
      <c r="A16" s="4" t="inlineStr">
        <is>
          <t>XVA coverage</t>
        </is>
      </c>
      <c r="B16" s="4" t="inlineStr">
        <is>
          <t>NOT COVERED</t>
        </is>
      </c>
      <c r="C16" s="4" t="inlineStr">
        <is>
          <t>model boundary</t>
        </is>
      </c>
      <c r="D16" s="4" t="inlineStr">
        <is>
          <t>Requires v0.9 XVA layer</t>
        </is>
      </c>
    </row>
    <row r="17">
      <c r="A17" s="4" t="inlineStr">
        <is>
          <t>Model-use status</t>
        </is>
      </c>
      <c r="B17" s="4" t="inlineStr">
        <is>
          <t>BASE USE ONLY</t>
        </is>
      </c>
      <c r="C17" s="4" t="inlineStr">
        <is>
          <t>decision</t>
        </is>
      </c>
      <c r="D17" s="4" t="inlineStr">
        <is>
          <t>Use for clean pricing and first-order rate-risk checks only</t>
        </is>
      </c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5" t="inlineStr">
        <is>
          <t>Excel formula checks</t>
        </is>
      </c>
      <c r="B20" s="2" t="n"/>
      <c r="C20" s="2" t="n"/>
      <c r="D20" s="2" t="n"/>
    </row>
    <row r="21">
      <c r="A21" s="3" t="inlineStr">
        <is>
          <t>Control</t>
        </is>
      </c>
      <c r="B21" s="3" t="inlineStr">
        <is>
          <t>Status</t>
        </is>
      </c>
      <c r="C21" s="3" t="inlineStr">
        <is>
          <t>Meaning</t>
        </is>
      </c>
      <c r="D21" s="2" t="n"/>
    </row>
    <row r="22">
      <c r="A22" s="4" t="inlineStr">
        <is>
          <t>PV symmetry</t>
        </is>
      </c>
      <c r="B22" s="4">
        <f>IF(ABS(VALUE(B11))&lt;=1,"PASS","REVIEW")</f>
        <v/>
      </c>
      <c r="C22" s="4" t="inlineStr">
        <is>
          <t>payer NPV plus receiver NPV close to zero</t>
        </is>
      </c>
      <c r="D22" s="2" t="n"/>
    </row>
    <row r="23">
      <c r="A23" s="4" t="inlineStr">
        <is>
          <t>DV01 sign</t>
        </is>
      </c>
      <c r="B23" s="4">
        <f>IF(AND(VALUE(B12)&gt;0,VALUE(B13)&lt;0),"PASS","REVIEW")</f>
        <v/>
      </c>
      <c r="C23" s="4" t="inlineStr">
        <is>
          <t>payer DV01 positive and receiver DV01 negative</t>
        </is>
      </c>
      <c r="D23" s="2" t="n"/>
    </row>
    <row r="24">
      <c r="A24" s="4" t="inlineStr">
        <is>
          <t>Shock direction</t>
        </is>
      </c>
      <c r="B24" s="4">
        <f>IF(AND(VALUE(B16)&lt;0,VALUE(B15)&gt;0),"PASS","REVIEW")</f>
        <v/>
      </c>
      <c r="C24" s="4" t="inlineStr">
        <is>
          <t>-100bp negative and +100bp positive</t>
        </is>
      </c>
      <c r="D24" s="2" t="n"/>
    </row>
    <row r="25">
      <c r="A25" s="4" t="inlineStr">
        <is>
          <t>Model use</t>
        </is>
      </c>
      <c r="B25" s="4" t="inlineStr">
        <is>
          <t>BASE USE ONLY</t>
        </is>
      </c>
      <c r="C25" s="4" t="inlineStr">
        <is>
          <t>clean pricing and first-order rate risk only</t>
        </is>
      </c>
      <c r="D25" s="2" t="n"/>
    </row>
    <row r="26">
      <c r="A26" s="4" t="inlineStr">
        <is>
          <t>XVA</t>
        </is>
      </c>
      <c r="B26" s="4" t="inlineStr">
        <is>
          <t>NOT COVERED</t>
        </is>
      </c>
      <c r="C26" s="4" t="inlineStr">
        <is>
          <t>requires v0.9 XVA layer</t>
        </is>
      </c>
      <c r="D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curve_shift_bp</t>
        </is>
      </c>
      <c r="B1" s="3" t="inlineStr">
        <is>
          <t>par_swap_rate</t>
        </is>
      </c>
      <c r="C1" s="3" t="inlineStr">
        <is>
          <t>fixed_leg_pv</t>
        </is>
      </c>
      <c r="D1" s="3" t="inlineStr">
        <is>
          <t>floating_leg_pv</t>
        </is>
      </c>
      <c r="E1" s="3" t="inlineStr">
        <is>
          <t>payer_swap_npv</t>
        </is>
      </c>
      <c r="F1" s="3" t="inlineStr">
        <is>
          <t>receiver_swap_npv</t>
        </is>
      </c>
      <c r="G1" s="3" t="inlineStr">
        <is>
          <t>payer_npv_change</t>
        </is>
      </c>
      <c r="H1" s="3" t="inlineStr">
        <is>
          <t>receiver_npv_change</t>
        </is>
      </c>
    </row>
    <row r="2">
      <c r="A2" s="4" t="n">
        <v>-100</v>
      </c>
      <c r="B2" s="4" t="n">
        <v>0.0323254129310881</v>
      </c>
      <c r="C2" s="4" t="n">
        <v>2064319.929744884</v>
      </c>
      <c r="D2" s="4" t="n">
        <v>1482821.764280489</v>
      </c>
      <c r="E2" s="4" t="n">
        <v>-581498.165464395</v>
      </c>
      <c r="F2" s="4" t="n">
        <v>581498.165464395</v>
      </c>
      <c r="G2" s="4" t="n">
        <v>-469844.1274683436</v>
      </c>
      <c r="H2" s="4" t="n">
        <v>469844.1274683436</v>
      </c>
    </row>
    <row r="3">
      <c r="A3" s="4" t="n">
        <v>-50</v>
      </c>
      <c r="B3" s="4" t="n">
        <v>0.037407365280426</v>
      </c>
      <c r="C3" s="4" t="n">
        <v>2036857.333328193</v>
      </c>
      <c r="D3" s="4" t="n">
        <v>1693111.644190774</v>
      </c>
      <c r="E3" s="4" t="n">
        <v>-343745.6891374188</v>
      </c>
      <c r="F3" s="4" t="n">
        <v>343745.6891374188</v>
      </c>
      <c r="G3" s="4" t="n">
        <v>-232091.6511413674</v>
      </c>
      <c r="H3" s="4" t="n">
        <v>232091.6511413674</v>
      </c>
    </row>
    <row r="4">
      <c r="A4" s="4" t="n">
        <v>0</v>
      </c>
      <c r="B4" s="4" t="n">
        <v>0.0425020331224755</v>
      </c>
      <c r="C4" s="4" t="n">
        <v>2009863.486462575</v>
      </c>
      <c r="D4" s="4" t="n">
        <v>1898209.448466524</v>
      </c>
      <c r="E4" s="4" t="n">
        <v>-111654.0379960514</v>
      </c>
      <c r="F4" s="4" t="n">
        <v>111654.0379960514</v>
      </c>
      <c r="G4" s="4" t="n">
        <v>0</v>
      </c>
      <c r="H4" s="4" t="n">
        <v>0</v>
      </c>
    </row>
    <row r="5">
      <c r="A5" s="4" t="n">
        <v>50</v>
      </c>
      <c r="B5" s="4" t="n">
        <v>0.0476094486457878</v>
      </c>
      <c r="C5" s="4" t="n">
        <v>1983329.366704281</v>
      </c>
      <c r="D5" s="4" t="n">
        <v>2098243.369911907</v>
      </c>
      <c r="E5" s="4" t="n">
        <v>114914.003207626</v>
      </c>
      <c r="F5" s="4" t="n">
        <v>-114914.003207626</v>
      </c>
      <c r="G5" s="4" t="n">
        <v>226568.0412036775</v>
      </c>
      <c r="H5" s="4" t="n">
        <v>-226568.0412036775</v>
      </c>
    </row>
    <row r="6">
      <c r="A6" s="4" t="n">
        <v>100</v>
      </c>
      <c r="B6" s="4" t="n">
        <v>0.0527296441204166</v>
      </c>
      <c r="C6" s="4" t="n">
        <v>1957246.13716358</v>
      </c>
      <c r="D6" s="4" t="n">
        <v>2293338.436239488</v>
      </c>
      <c r="E6" s="4" t="n">
        <v>336092.299075908</v>
      </c>
      <c r="F6" s="4" t="n">
        <v>-336092.299075908</v>
      </c>
      <c r="G6" s="4" t="n">
        <v>447746.3370719594</v>
      </c>
      <c r="H6" s="4" t="n">
        <v>-447746.3370719594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3" t="inlineStr">
        <is>
          <t>model_id</t>
        </is>
      </c>
      <c r="B1" s="3" t="inlineStr">
        <is>
          <t>model_name</t>
        </is>
      </c>
      <c r="C1" s="3" t="inlineStr">
        <is>
          <t>product_scope</t>
        </is>
      </c>
      <c r="D1" s="3" t="inlineStr">
        <is>
          <t>asset_class</t>
        </is>
      </c>
      <c r="E1" s="3" t="inlineStr">
        <is>
          <t>lifecycle_stage</t>
        </is>
      </c>
      <c r="F1" s="3" t="inlineStr">
        <is>
          <t>valuation_status</t>
        </is>
      </c>
      <c r="G1" s="3" t="inlineStr">
        <is>
          <t>risk_status</t>
        </is>
      </c>
      <c r="H1" s="3" t="inlineStr">
        <is>
          <t>approved_use</t>
        </is>
      </c>
      <c r="I1" s="3" t="inlineStr">
        <is>
          <t>blocked_use</t>
        </is>
      </c>
      <c r="J1" s="3" t="inlineStr">
        <is>
          <t>archer_action</t>
        </is>
      </c>
      <c r="K1" s="3" t="inlineStr">
        <is>
          <t>mmmrc_action</t>
        </is>
      </c>
      <c r="L1" s="3" t="inlineStr">
        <is>
          <t>monitoring_frequency</t>
        </is>
      </c>
      <c r="M1" s="3" t="inlineStr">
        <is>
          <t>revalidation_trigger</t>
        </is>
      </c>
      <c r="N1" s="3" t="inlineStr">
        <is>
          <t>next_lifecycle_gate</t>
        </is>
      </c>
    </row>
    <row r="2">
      <c r="A2" s="4" t="inlineStr">
        <is>
          <t>QMRL-IR-SWAP-001</t>
        </is>
      </c>
      <c r="B2" s="4" t="inlineStr">
        <is>
          <t>Base interest-rate swap pricing validation</t>
        </is>
      </c>
      <c r="C2" s="4" t="inlineStr">
        <is>
          <t>Plain-vanilla fixed-for-floating interest-rate swap</t>
        </is>
      </c>
      <c r="D2" s="4" t="inlineStr">
        <is>
          <t>IR derivatives</t>
        </is>
      </c>
      <c r="E2" s="4" t="inlineStr">
        <is>
          <t>Independent validation prototype</t>
        </is>
      </c>
      <c r="F2" s="4" t="inlineStr">
        <is>
          <t>Pass: par rate, PV symmetry and discounting chain tested</t>
        </is>
      </c>
      <c r="G2" s="4" t="inlineStr">
        <is>
          <t>Pass: DV01 and parallel curve-shock direction tested</t>
        </is>
      </c>
      <c r="H2" s="4" t="inlineStr">
        <is>
          <t>Base IR swap pricing and risk validation evidence</t>
        </is>
      </c>
      <c r="I2" s="4" t="inlineStr">
        <is>
          <t>XVA approval, callable swaps, structured swaps, production multi-curve pricing</t>
        </is>
      </c>
      <c r="J2" s="4" t="inlineStr">
        <is>
          <t>Create or update model record with pricing, risk, monitoring and revalidation fields</t>
        </is>
      </c>
      <c r="K2" s="4" t="inlineStr">
        <is>
          <t>Report base pricing validation passed; XVA validation required next</t>
        </is>
      </c>
      <c r="L2" s="4" t="inlineStr">
        <is>
          <t>Periodic rerun after curve data refresh or model change</t>
        </is>
      </c>
      <c r="M2" s="4" t="inlineStr">
        <is>
          <t>Pricing symmetry breach, DV01 sign breach, curve input change, methodology change, XVA extension</t>
        </is>
      </c>
      <c r="N2" s="4" t="inlineStr">
        <is>
          <t>v0.9 XVA validation layer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Instructions</t>
        </is>
      </c>
    </row>
    <row r="2">
      <c r="A2" s="2" t="n"/>
    </row>
    <row r="3">
      <c r="A3" s="2" t="inlineStr">
        <is>
          <t>Import excel_vba/vba/Revalidate_IR_Swap.bas into this workbook.</t>
        </is>
      </c>
    </row>
    <row r="4">
      <c r="A4" s="2" t="inlineStr">
        <is>
          <t>Run RunIRSwapRevalidation() to populate the revalidation status fields.</t>
        </is>
      </c>
    </row>
    <row r="5">
      <c r="A5" s="2" t="inlineStr">
        <is>
          <t>Python remains the pricing and validation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2026-07-09T15:42:33Z</dcterms:created>
  <dcterms:modified xmlns:dcterms="http://purl.org/dc/terms/" xmlns:xsi="http://www.w3.org/2001/XMLSchema-instance" xsi:type="dcterms:W3CDTF">2026-07-09T15:42:33Z</dcterms:modified>
</cp:coreProperties>
</file>